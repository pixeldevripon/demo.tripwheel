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Serial</t>
        </is>
      </c>
      <c r="B1" s="1" t="inlineStr">
        <is>
          <t>Feature Name</t>
        </is>
      </c>
      <c r="C1" s="1" t="inlineStr">
        <is>
          <t>Time (hrs)</t>
        </is>
      </c>
      <c r="D1" s="1" t="inlineStr">
        <is>
          <t>Cost (per hr)</t>
        </is>
      </c>
      <c r="E1" s="1" t="inlineStr">
        <is>
          <t>Total</t>
        </is>
      </c>
    </row>
    <row r="2" ht="20" customHeight="1">
      <c r="A2" s="2" t="n"/>
      <c r="B2" s="3" t="inlineStr">
        <is>
          <t>Tour Operator Features (Operator Dashboard)</t>
        </is>
      </c>
      <c r="C2" s="2" t="n"/>
      <c r="D2" s="2" t="n"/>
      <c r="E2" s="2" t="n"/>
    </row>
    <row r="3">
      <c r="A3" s="4" t="n">
        <v>1</v>
      </c>
      <c r="B3" s="5" t="inlineStr">
        <is>
          <t>Tour operator segmentation and account data model</t>
        </is>
      </c>
      <c r="C3" s="4" t="n">
        <v>16</v>
      </c>
      <c r="D3" s="4" t="n">
        <v>50</v>
      </c>
      <c r="E3" s="4">
        <f>C3*D3</f>
        <v/>
      </c>
    </row>
    <row r="4">
      <c r="A4" s="4" t="n">
        <v>2</v>
      </c>
      <c r="B4" s="5" t="inlineStr">
        <is>
          <t>Tour operator authentication and onboarding workflow with email verification and guided setup</t>
        </is>
      </c>
      <c r="C4" s="4" t="n">
        <v>24</v>
      </c>
      <c r="D4" s="4" t="n">
        <v>50</v>
      </c>
      <c r="E4" s="4">
        <f>C4*D4</f>
        <v/>
      </c>
    </row>
    <row r="5">
      <c r="A5" s="4" t="n">
        <v>3</v>
      </c>
      <c r="B5" s="5" t="inlineStr">
        <is>
          <t>Tour operator dashboard: application shell, role-aware navigation and KPI overview</t>
        </is>
      </c>
      <c r="C5" s="4" t="n">
        <v>40</v>
      </c>
      <c r="D5" s="4" t="n">
        <v>50</v>
      </c>
      <c r="E5" s="4">
        <f>C5*D5</f>
        <v/>
      </c>
    </row>
    <row r="6">
      <c r="A6" s="4" t="n">
        <v>4</v>
      </c>
      <c r="B6" s="5" t="inlineStr">
        <is>
          <t>Tour creation workflow: multi-step wizard integrated with the admin review pipeline</t>
        </is>
      </c>
      <c r="C6" s="4" t="n">
        <v>40</v>
      </c>
      <c r="D6" s="4" t="n">
        <v>50</v>
      </c>
      <c r="E6" s="4">
        <f>C6*D6</f>
        <v/>
      </c>
    </row>
    <row r="7">
      <c r="A7" s="4" t="n">
        <v>5</v>
      </c>
      <c r="B7" s="5" t="inlineStr">
        <is>
          <t>Operator verification and approval workflow with a pending / verified / rejected status lifecycle</t>
        </is>
      </c>
      <c r="C7" s="4" t="n">
        <v>24</v>
      </c>
      <c r="D7" s="4" t="n">
        <v>50</v>
      </c>
      <c r="E7" s="4">
        <f>C7*D7</f>
        <v/>
      </c>
    </row>
    <row r="8">
      <c r="A8" s="4" t="n">
        <v>6</v>
      </c>
      <c r="B8" s="5" t="inlineStr">
        <is>
          <t>Tour listing management: media, localized descriptions, pricing, inclusions and exclusions, meeting points and add-ons</t>
        </is>
      </c>
      <c r="C8" s="4" t="n">
        <v>80</v>
      </c>
      <c r="D8" s="4" t="n">
        <v>50</v>
      </c>
      <c r="E8" s="4">
        <f>C8*D8</f>
        <v/>
      </c>
    </row>
    <row r="9">
      <c r="A9" s="4" t="n">
        <v>7</v>
      </c>
      <c r="B9" s="5" t="inlineStr">
        <is>
          <t>Per-tour availability configuration: recurring schedules and date-level exceptions</t>
        </is>
      </c>
      <c r="C9" s="4" t="n">
        <v>40</v>
      </c>
      <c r="D9" s="4" t="n">
        <v>50</v>
      </c>
      <c r="E9" s="4">
        <f>C9*D9</f>
        <v/>
      </c>
    </row>
    <row r="10">
      <c r="A10" s="4" t="n">
        <v>8</v>
      </c>
      <c r="B10" s="5" t="inlineStr">
        <is>
          <t>Commission tier selection per tour with eligibility gating, plus Destination Spotlight request submission</t>
        </is>
      </c>
      <c r="C10" s="4" t="n">
        <v>24</v>
      </c>
      <c r="D10" s="4" t="n">
        <v>50</v>
      </c>
      <c r="E10" s="4">
        <f>C10*D10</f>
        <v/>
      </c>
    </row>
    <row r="11">
      <c r="A11" s="4" t="n">
        <v>9</v>
      </c>
      <c r="B11" s="5" t="inlineStr">
        <is>
          <t>Booking management for owned tours: balance payment links and traveller non-payment reporting</t>
        </is>
      </c>
      <c r="C11" s="4" t="n">
        <v>40</v>
      </c>
      <c r="D11" s="4" t="n">
        <v>50</v>
      </c>
      <c r="E11" s="4">
        <f>C11*D11</f>
        <v/>
      </c>
    </row>
    <row r="12">
      <c r="A12" s="4" t="n">
        <v>10</v>
      </c>
      <c r="B12" s="5" t="inlineStr">
        <is>
          <t>Earnings, settlement and payout history reporting</t>
        </is>
      </c>
      <c r="C12" s="4" t="n">
        <v>24</v>
      </c>
      <c r="D12" s="4" t="n">
        <v>50</v>
      </c>
      <c r="E12" s="4">
        <f>C12*D12</f>
        <v/>
      </c>
    </row>
    <row r="13">
      <c r="A13" s="4" t="n">
        <v>11</v>
      </c>
      <c r="B13" s="5" t="inlineStr">
        <is>
          <t>Operator team management: staff seats with scoped, limited permissions</t>
        </is>
      </c>
      <c r="C13" s="4" t="n">
        <v>24</v>
      </c>
      <c r="D13" s="4" t="n">
        <v>50</v>
      </c>
      <c r="E13" s="4">
        <f>C13*D13</f>
        <v/>
      </c>
    </row>
    <row r="14">
      <c r="A14" s="4" t="n">
        <v>12</v>
      </c>
      <c r="B14" s="5" t="inlineStr">
        <is>
          <t>iCal calendar synchronization: tokenized, rotatable and revocable bookings and departures feeds (.ics)</t>
        </is>
      </c>
      <c r="C14" s="4" t="n">
        <v>24</v>
      </c>
      <c r="D14" s="4" t="n">
        <v>50</v>
      </c>
      <c r="E14" s="4">
        <f>C14*D14</f>
        <v/>
      </c>
    </row>
    <row r="15">
      <c r="A15" s="4" t="n">
        <v>13</v>
      </c>
      <c r="B15" s="5" t="inlineStr">
        <is>
          <t>Calendar management: month view with per-departure occupancy, close/reopen controls for days and slots, and manual departure creation</t>
        </is>
      </c>
      <c r="C15" s="4" t="n">
        <v>40</v>
      </c>
      <c r="D15" s="4" t="n">
        <v>50</v>
      </c>
      <c r="E15" s="4">
        <f>C15*D15</f>
        <v/>
      </c>
    </row>
    <row r="16">
      <c r="A16" s="4" t="n">
        <v>14</v>
      </c>
      <c r="B16" s="5" t="inlineStr">
        <is>
          <t>Availability management: departure inventory, capacity adjustments, sold-out marking and reopen controls</t>
        </is>
      </c>
      <c r="C16" s="4" t="n">
        <v>40</v>
      </c>
      <c r="D16" s="4" t="n">
        <v>50</v>
      </c>
      <c r="E16" s="4">
        <f>C16*D16</f>
        <v/>
      </c>
    </row>
    <row r="17">
      <c r="A17" s="4" t="n">
        <v>15</v>
      </c>
      <c r="B17" s="5" t="inlineStr">
        <is>
          <t>Operator-scoped booking listings with filtering and detail views</t>
        </is>
      </c>
      <c r="C17" s="4" t="n">
        <v>16</v>
      </c>
      <c r="D17" s="4" t="n">
        <v>50</v>
      </c>
      <c r="E17" s="4">
        <f>C17*D17</f>
        <v/>
      </c>
    </row>
    <row r="18">
      <c r="A18" s="4" t="n">
        <v>16</v>
      </c>
      <c r="B18" s="5" t="inlineStr">
        <is>
          <t>Cancellation request queue within the operator dashboard</t>
        </is>
      </c>
      <c r="C18" s="4" t="n">
        <v>16</v>
      </c>
      <c r="D18" s="4" t="n">
        <v>50</v>
      </c>
      <c r="E18" s="4">
        <f>C18*D18</f>
        <v/>
      </c>
    </row>
    <row r="19">
      <c r="A19" s="4" t="n">
        <v>17</v>
      </c>
      <c r="B19" s="5" t="inlineStr">
        <is>
          <t>Operator-scoped customer directory with per-customer booking statistics</t>
        </is>
      </c>
      <c r="C19" s="4" t="n">
        <v>24</v>
      </c>
      <c r="D19" s="4" t="n">
        <v>50</v>
      </c>
      <c r="E19" s="4">
        <f>C19*D19</f>
        <v/>
      </c>
    </row>
    <row r="20">
      <c r="A20" s="4" t="n">
        <v>18</v>
      </c>
      <c r="B20" s="5" t="inlineStr">
        <is>
          <t>Operator payment and settlement history views with ledger-derived statuses</t>
        </is>
      </c>
      <c r="C20" s="4" t="n">
        <v>16</v>
      </c>
      <c r="D20" s="4" t="n">
        <v>50</v>
      </c>
      <c r="E20" s="4">
        <f>C20*D20</f>
        <v/>
      </c>
    </row>
    <row r="21">
      <c r="A21" s="4" t="n">
        <v>19</v>
      </c>
      <c r="B21" s="5" t="inlineStr">
        <is>
          <t>Tour submission tracking: review status, moderator notes and change history</t>
        </is>
      </c>
      <c r="C21" s="4" t="n">
        <v>24</v>
      </c>
      <c r="D21" s="4" t="n">
        <v>50</v>
      </c>
      <c r="E21" s="4">
        <f>C21*D21</f>
        <v/>
      </c>
    </row>
    <row r="22">
      <c r="A22" s="4" t="n">
        <v>20</v>
      </c>
      <c r="B22" s="5" t="inlineStr">
        <is>
          <t>Operator notification inbox and transactional email pipeline</t>
        </is>
      </c>
      <c r="C22" s="4" t="n">
        <v>24</v>
      </c>
      <c r="D22" s="4" t="n">
        <v>50</v>
      </c>
      <c r="E22" s="4">
        <f>C22*D22</f>
        <v/>
      </c>
    </row>
    <row r="23">
      <c r="A23" s="4" t="n">
        <v>21</v>
      </c>
      <c r="B23" s="5" t="inlineStr">
        <is>
          <t>Operator media gallery: upload, organization and asset reuse</t>
        </is>
      </c>
      <c r="C23" s="4" t="n">
        <v>32</v>
      </c>
      <c r="D23" s="4" t="n">
        <v>50</v>
      </c>
      <c r="E23" s="4">
        <f>C23*D23</f>
        <v/>
      </c>
    </row>
    <row r="24">
      <c r="A24" s="4" t="n">
        <v>22</v>
      </c>
      <c r="B24" s="5" t="inlineStr">
        <is>
          <t>In-dashboard translation management for operator-authored content</t>
        </is>
      </c>
      <c r="C24" s="4" t="n">
        <v>32</v>
      </c>
      <c r="D24" s="4" t="n">
        <v>50</v>
      </c>
      <c r="E24" s="4">
        <f>C24*D24</f>
        <v/>
      </c>
    </row>
    <row r="25">
      <c r="A25" s="4" t="n">
        <v>23</v>
      </c>
      <c r="B25" s="5" t="inlineStr">
        <is>
          <t>Commercial tier administration: 30-day tier lock and derived deposit percentage</t>
        </is>
      </c>
      <c r="C25" s="4" t="n">
        <v>24</v>
      </c>
      <c r="D25" s="4" t="n">
        <v>50</v>
      </c>
      <c r="E25" s="4">
        <f>C25*D25</f>
        <v/>
      </c>
    </row>
    <row r="26">
      <c r="A26" s="4" t="n">
        <v>24</v>
      </c>
      <c r="B26" s="5" t="inlineStr">
        <is>
          <t>Tier-based ranking engine with a nightly demand-signal job assigning the "Likely to sell out" badge</t>
        </is>
      </c>
      <c r="C26" s="4" t="n">
        <v>40</v>
      </c>
      <c r="D26" s="4" t="n">
        <v>50</v>
      </c>
      <c r="E26" s="4">
        <f>C26*D26</f>
        <v/>
      </c>
    </row>
    <row r="27">
      <c r="A27" s="4" t="n">
        <v>25</v>
      </c>
      <c r="B27" s="5" t="inlineStr">
        <is>
          <t>Weekly recurring schedule configuration with per-schedule start times</t>
        </is>
      </c>
      <c r="C27" s="4" t="n">
        <v>24</v>
      </c>
      <c r="D27" s="4" t="n">
        <v>50</v>
      </c>
      <c r="E27" s="4">
        <f>C27*D27</f>
        <v/>
      </c>
    </row>
    <row r="28">
      <c r="A28" s="4" t="n">
        <v>26</v>
      </c>
      <c r="B28" s="5" t="inlineStr">
        <is>
          <t>Daily capacity limits and per-booking traveller limit enforcement</t>
        </is>
      </c>
      <c r="C28" s="4" t="n">
        <v>16</v>
      </c>
      <c r="D28" s="4" t="n">
        <v>50</v>
      </c>
      <c r="E28" s="4">
        <f>C28*D28</f>
        <v/>
      </c>
    </row>
    <row r="29">
      <c r="A29" s="4" t="n">
        <v>27</v>
      </c>
      <c r="B29" s="5" t="inlineStr">
        <is>
          <t>Bulk blackout-date management and a one-tap "close today" control</t>
        </is>
      </c>
      <c r="C29" s="4" t="n">
        <v>16</v>
      </c>
      <c r="D29" s="4" t="n">
        <v>50</v>
      </c>
      <c r="E29" s="4">
        <f>C29*D29</f>
        <v/>
      </c>
    </row>
    <row r="30">
      <c r="A30" s="4" t="n">
        <v>28</v>
      </c>
      <c r="B30" s="5" t="inlineStr">
        <is>
          <t>Publish-readiness validation panel: requirement checklist gating publication</t>
        </is>
      </c>
      <c r="C30" s="4" t="n">
        <v>24</v>
      </c>
      <c r="D30" s="4" t="n">
        <v>50</v>
      </c>
      <c r="E30" s="4">
        <f>C30*D30</f>
        <v/>
      </c>
    </row>
    <row r="31">
      <c r="A31" s="4" t="n">
        <v>29</v>
      </c>
      <c r="B31" s="5" t="inlineStr">
        <is>
          <t>Per-tour payment model selection (operator link / on arrival / paid in full)</t>
        </is>
      </c>
      <c r="C31" s="4" t="n">
        <v>16</v>
      </c>
      <c r="D31" s="4" t="n">
        <v>50</v>
      </c>
      <c r="E31" s="4">
        <f>C31*D31</f>
        <v/>
      </c>
    </row>
    <row r="32">
      <c r="A32" s="4" t="n">
        <v>30</v>
      </c>
      <c r="B32" s="5" t="inlineStr">
        <is>
          <t>Automated operator email notifications on booking confirmation</t>
        </is>
      </c>
      <c r="C32" s="4" t="n">
        <v>16</v>
      </c>
      <c r="D32" s="4" t="n">
        <v>50</v>
      </c>
      <c r="E32" s="4">
        <f>C32*D32</f>
        <v/>
      </c>
    </row>
    <row r="33">
      <c r="A33" s="4" t="n">
        <v>31</v>
      </c>
      <c r="B33" s="5" t="inlineStr">
        <is>
          <t>Manual translation overrides across the six non-English locales</t>
        </is>
      </c>
      <c r="C33" s="4" t="n">
        <v>24</v>
      </c>
      <c r="D33" s="4" t="n">
        <v>50</v>
      </c>
      <c r="E33" s="4">
        <f>C33*D33</f>
        <v/>
      </c>
    </row>
    <row r="34">
      <c r="A34" s="4" t="n">
        <v>32</v>
      </c>
      <c r="B34" s="5" t="inlineStr">
        <is>
          <t>Advanced pricing engine: per-person age-band pricing versus whole-unit / private charter pricing, with extra-guest surcharge and day/overnight charter handling</t>
        </is>
      </c>
      <c r="C34" s="4" t="n">
        <v>56</v>
      </c>
      <c r="D34" s="4" t="n">
        <v>50</v>
      </c>
      <c r="E34" s="4">
        <f>C34*D34</f>
        <v/>
      </c>
    </row>
    <row r="35">
      <c r="A35" s="4" t="n">
        <v>33</v>
      </c>
      <c r="B35" s="5" t="inlineStr">
        <is>
          <t>Live-edit gate for published tours: staged revisions, field-level diffs, review round-trip and post-rejection revival</t>
        </is>
      </c>
      <c r="C35" s="4" t="n">
        <v>64</v>
      </c>
      <c r="D35" s="4" t="n">
        <v>50</v>
      </c>
      <c r="E35" s="4">
        <f>C35*D35</f>
        <v/>
      </c>
    </row>
    <row r="36">
      <c r="A36" s="4" t="n">
        <v>34</v>
      </c>
      <c r="B36" s="5" t="inlineStr">
        <is>
          <t>Operator conditions module: per-tour terms document authoring enforced through a checkout acknowledgment gate</t>
        </is>
      </c>
      <c r="C36" s="4" t="n">
        <v>32</v>
      </c>
      <c r="D36" s="4" t="n">
        <v>50</v>
      </c>
      <c r="E36" s="4">
        <f>C36*D36</f>
        <v/>
      </c>
    </row>
    <row r="37">
      <c r="A37" s="4" t="n">
        <v>35</v>
      </c>
      <c r="B37" s="5" t="inlineStr">
        <is>
          <t>Global availability calendar with a cross-tour daily agenda: month/week/day views, close-all-today and data-freshness confirmation</t>
        </is>
      </c>
      <c r="C37" s="4" t="n">
        <v>48</v>
      </c>
      <c r="D37" s="4" t="n">
        <v>50</v>
      </c>
      <c r="E37" s="4">
        <f>C37*D37</f>
        <v/>
      </c>
    </row>
    <row r="38">
      <c r="A38" s="4" t="n">
        <v>36</v>
      </c>
      <c r="B38" s="5" t="inlineStr">
        <is>
          <t>Operator business settings: company profile, social links, payout provider selection and payment configuration</t>
        </is>
      </c>
      <c r="C38" s="4" t="n">
        <v>16</v>
      </c>
      <c r="D38" s="4" t="n">
        <v>50</v>
      </c>
      <c r="E38" s="4">
        <f>C38*D38</f>
        <v/>
      </c>
    </row>
    <row r="39">
      <c r="A39" s="4" t="n">
        <v>37</v>
      </c>
      <c r="B39" s="5" t="inlineStr">
        <is>
          <t>Operator profile and account security management (avatar, password)</t>
        </is>
      </c>
      <c r="C39" s="4" t="n">
        <v>16</v>
      </c>
      <c r="D39" s="4" t="n">
        <v>50</v>
      </c>
      <c r="E39" s="4">
        <f>C39*D39</f>
        <v/>
      </c>
    </row>
    <row r="40">
      <c r="A40" s="4" t="n">
        <v>38</v>
      </c>
      <c r="B40" s="5" t="inlineStr">
        <is>
          <t>Dashboard command palette (Cmd+K) with role-scoped entity search and quick actions</t>
        </is>
      </c>
      <c r="C40" s="4" t="n">
        <v>16</v>
      </c>
      <c r="D40" s="4" t="n">
        <v>50</v>
      </c>
      <c r="E40" s="4">
        <f>C40*D40</f>
        <v/>
      </c>
    </row>
    <row r="41">
      <c r="A41" s="6" t="n"/>
      <c r="B41" s="7" t="inlineStr">
        <is>
          <t>Subtotal: Tour Operator Features (Operator Dashboard)</t>
        </is>
      </c>
      <c r="C41" s="8">
        <f>SUM(C3:C40)</f>
        <v/>
      </c>
      <c r="D41" s="6" t="n"/>
      <c r="E41" s="8">
        <f>SUM(E3:E40)</f>
        <v/>
      </c>
    </row>
    <row r="42" ht="20" customHeight="1">
      <c r="A42" s="2" t="n"/>
      <c r="B42" s="3" t="inlineStr">
        <is>
          <t>Admin (Island Tours) Features (Admin Dashboard)</t>
        </is>
      </c>
      <c r="C42" s="2" t="n"/>
      <c r="D42" s="2" t="n"/>
      <c r="E42" s="2" t="n"/>
    </row>
    <row r="43">
      <c r="A43" s="4" t="n">
        <v>39</v>
      </c>
      <c r="B43" s="5" t="inlineStr">
        <is>
          <t>Destination management with seeded-row deletion protection and region grouping</t>
        </is>
      </c>
      <c r="C43" s="4" t="n">
        <v>40</v>
      </c>
      <c r="D43" s="4" t="n">
        <v>50</v>
      </c>
      <c r="E43" s="4">
        <f>C43*D43</f>
        <v/>
      </c>
    </row>
    <row r="44">
      <c r="A44" s="4" t="n">
        <v>40</v>
      </c>
      <c r="B44" s="5" t="inlineStr">
        <is>
          <t>Global 19-category taxonomy management</t>
        </is>
      </c>
      <c r="C44" s="4" t="n">
        <v>32</v>
      </c>
      <c r="D44" s="4" t="n">
        <v>50</v>
      </c>
      <c r="E44" s="4">
        <f>C44*D44</f>
        <v/>
      </c>
    </row>
    <row r="45">
      <c r="A45" s="4" t="n">
        <v>41</v>
      </c>
      <c r="B45" s="5" t="inlineStr">
        <is>
          <t>Activity hub management with editorial content blocks and comparison tables</t>
        </is>
      </c>
      <c r="C45" s="4" t="n">
        <v>48</v>
      </c>
      <c r="D45" s="4" t="n">
        <v>50</v>
      </c>
      <c r="E45" s="4">
        <f>C45*D45</f>
        <v/>
      </c>
    </row>
    <row r="46">
      <c r="A46" s="4" t="n">
        <v>42</v>
      </c>
      <c r="B46" s="5" t="inlineStr">
        <is>
          <t>Curated collection management with manual ordering and dynamic query modes</t>
        </is>
      </c>
      <c r="C46" s="4" t="n">
        <v>40</v>
      </c>
      <c r="D46" s="4" t="n">
        <v>50</v>
      </c>
      <c r="E46" s="4">
        <f>C46*D46</f>
        <v/>
      </c>
    </row>
    <row r="47">
      <c r="A47" s="4" t="n">
        <v>43</v>
      </c>
      <c r="B47" s="5" t="inlineStr">
        <is>
          <t>Editorial content and FAQ block management across all public page types</t>
        </is>
      </c>
      <c r="C47" s="4" t="n">
        <v>32</v>
      </c>
      <c r="D47" s="4" t="n">
        <v>50</v>
      </c>
      <c r="E47" s="4">
        <f>C47*D47</f>
        <v/>
      </c>
    </row>
    <row r="48">
      <c r="A48" s="4" t="n">
        <v>44</v>
      </c>
      <c r="B48" s="5" t="inlineStr">
        <is>
          <t>Destination Spotlight request adjudication: approve or reject, capped at three per destination</t>
        </is>
      </c>
      <c r="C48" s="4" t="n">
        <v>16</v>
      </c>
      <c r="D48" s="4" t="n">
        <v>50</v>
      </c>
      <c r="E48" s="4">
        <f>C48*D48</f>
        <v/>
      </c>
    </row>
    <row r="49">
      <c r="A49" s="4" t="n">
        <v>45</v>
      </c>
      <c r="B49" s="5" t="inlineStr">
        <is>
          <t>Editorial flag curation, including "Locals' Favourite", with coverage tracking</t>
        </is>
      </c>
      <c r="C49" s="4" t="n">
        <v>16</v>
      </c>
      <c r="D49" s="4" t="n">
        <v>50</v>
      </c>
      <c r="E49" s="4">
        <f>C49*D49</f>
        <v/>
      </c>
    </row>
    <row r="50">
      <c r="A50" s="4" t="n">
        <v>46</v>
      </c>
      <c r="B50" s="5" t="inlineStr">
        <is>
          <t>Homepage hero and destination feature curation</t>
        </is>
      </c>
      <c r="C50" s="4" t="n">
        <v>24</v>
      </c>
      <c r="D50" s="4" t="n">
        <v>50</v>
      </c>
      <c r="E50" s="4">
        <f>C50*D50</f>
        <v/>
      </c>
    </row>
    <row r="51">
      <c r="A51" s="4" t="n">
        <v>47</v>
      </c>
      <c r="B51" s="5" t="inlineStr">
        <is>
          <t>Review moderation: approve, hold or reject, bulk actions and operator response management</t>
        </is>
      </c>
      <c r="C51" s="4" t="n">
        <v>24</v>
      </c>
      <c r="D51" s="4" t="n">
        <v>50</v>
      </c>
      <c r="E51" s="4">
        <f>C51*D51</f>
        <v/>
      </c>
    </row>
    <row r="52">
      <c r="A52" s="4" t="n">
        <v>48</v>
      </c>
      <c r="B52" s="5" t="inlineStr">
        <is>
          <t>Cancellation handling and refund processing queue with refund-entitlement computation</t>
        </is>
      </c>
      <c r="C52" s="4" t="n">
        <v>32</v>
      </c>
      <c r="D52" s="4" t="n">
        <v>50</v>
      </c>
      <c r="E52" s="4">
        <f>C52*D52</f>
        <v/>
      </c>
    </row>
    <row r="53">
      <c r="A53" s="4" t="n">
        <v>49</v>
      </c>
      <c r="B53" s="5" t="inlineStr">
        <is>
          <t>Operator non-payment confirmation workflow: deposit forfeiture and capacity release</t>
        </is>
      </c>
      <c r="C53" s="4" t="n">
        <v>16</v>
      </c>
      <c r="D53" s="4" t="n">
        <v>50</v>
      </c>
      <c r="E53" s="4">
        <f>C53*D53</f>
        <v/>
      </c>
    </row>
    <row r="54">
      <c r="A54" s="4" t="n">
        <v>50</v>
      </c>
      <c r="B54" s="5" t="inlineStr">
        <is>
          <t>Force-majeure exemption management for island-wide date ranges</t>
        </is>
      </c>
      <c r="C54" s="4" t="n">
        <v>16</v>
      </c>
      <c r="D54" s="4" t="n">
        <v>50</v>
      </c>
      <c r="E54" s="4">
        <f>C54*D54</f>
        <v/>
      </c>
    </row>
    <row r="55">
      <c r="A55" s="4" t="n">
        <v>51</v>
      </c>
      <c r="B55" s="5" t="inlineStr">
        <is>
          <t>Operator onboarding administration and tour submission status review</t>
        </is>
      </c>
      <c r="C55" s="4" t="n">
        <v>32</v>
      </c>
      <c r="D55" s="4" t="n">
        <v>50</v>
      </c>
      <c r="E55" s="4">
        <f>C55*D55</f>
        <v/>
      </c>
    </row>
    <row r="56">
      <c r="A56" s="4" t="n">
        <v>52</v>
      </c>
      <c r="B56" s="5" t="inlineStr">
        <is>
          <t>Platform staff account administration</t>
        </is>
      </c>
      <c r="C56" s="4" t="n">
        <v>24</v>
      </c>
      <c r="D56" s="4" t="n">
        <v>50</v>
      </c>
      <c r="E56" s="4">
        <f>C56*D56</f>
        <v/>
      </c>
    </row>
    <row r="57">
      <c r="A57" s="4" t="n">
        <v>53</v>
      </c>
      <c r="B57" s="5" t="inlineStr">
        <is>
          <t>Global platform settings configuration</t>
        </is>
      </c>
      <c r="C57" s="4" t="n">
        <v>24</v>
      </c>
      <c r="D57" s="4" t="n">
        <v>50</v>
      </c>
      <c r="E57" s="4">
        <f>C57*D57</f>
        <v/>
      </c>
    </row>
    <row r="58">
      <c r="A58" s="4" t="n">
        <v>54</v>
      </c>
      <c r="B58" s="5" t="inlineStr">
        <is>
          <t>Payment gateway configuration and credential management (Stripe and Mollie, admin-switchable)</t>
        </is>
      </c>
      <c r="C58" s="4" t="n">
        <v>24</v>
      </c>
      <c r="D58" s="4" t="n">
        <v>50</v>
      </c>
      <c r="E58" s="4">
        <f>C58*D58</f>
        <v/>
      </c>
    </row>
    <row r="59">
      <c r="A59" s="4" t="n">
        <v>55</v>
      </c>
      <c r="B59" s="5" t="inlineStr">
        <is>
          <t>Provider-backed live currency conversion at checkout</t>
        </is>
      </c>
      <c r="C59" s="4" t="n">
        <v>24</v>
      </c>
      <c r="D59" s="4" t="n">
        <v>50</v>
      </c>
      <c r="E59" s="4">
        <f>C59*D59</f>
        <v/>
      </c>
    </row>
    <row r="60">
      <c r="A60" s="4" t="n">
        <v>56</v>
      </c>
      <c r="B60" s="5" t="inlineStr">
        <is>
          <t>Category administration: per-category page content and SEO metadata management</t>
        </is>
      </c>
      <c r="C60" s="4" t="n">
        <v>24</v>
      </c>
      <c r="D60" s="4" t="n">
        <v>50</v>
      </c>
      <c r="E60" s="4">
        <f>C60*D60</f>
        <v/>
      </c>
    </row>
    <row r="61">
      <c r="A61" s="4" t="n">
        <v>57</v>
      </c>
      <c r="B61" s="5" t="inlineStr">
        <is>
          <t>Dashboard analytics: sales, revenue and refund metrics, trend graphs and an activity feed</t>
        </is>
      </c>
      <c r="C61" s="4" t="n">
        <v>48</v>
      </c>
      <c r="D61" s="4" t="n">
        <v>50</v>
      </c>
      <c r="E61" s="4">
        <f>C61*D61</f>
        <v/>
      </c>
    </row>
    <row r="62">
      <c r="A62" s="4" t="n">
        <v>58</v>
      </c>
      <c r="B62" s="5" t="inlineStr">
        <is>
          <t>Locals' favourites curation and post-booking recommendation engine administration (thank-you page and email placements)</t>
        </is>
      </c>
      <c r="C62" s="4" t="n">
        <v>40</v>
      </c>
      <c r="D62" s="4" t="n">
        <v>50</v>
      </c>
      <c r="E62" s="4">
        <f>C62*D62</f>
        <v/>
      </c>
    </row>
    <row r="63">
      <c r="A63" s="4" t="n">
        <v>59</v>
      </c>
      <c r="B63" s="5" t="inlineStr">
        <is>
          <t>Tour attribute dictionary: definition management and per-tour value assignment</t>
        </is>
      </c>
      <c r="C63" s="4" t="n">
        <v>24</v>
      </c>
      <c r="D63" s="4" t="n">
        <v>50</v>
      </c>
      <c r="E63" s="4">
        <f>C63*D63</f>
        <v/>
      </c>
    </row>
    <row r="64">
      <c r="A64" s="4" t="n">
        <v>60</v>
      </c>
      <c r="B64" s="5" t="inlineStr">
        <is>
          <t>Email activity tracking and administration of the transactional and operator email engine</t>
        </is>
      </c>
      <c r="C64" s="4" t="n">
        <v>48</v>
      </c>
      <c r="D64" s="4" t="n">
        <v>50</v>
      </c>
      <c r="E64" s="4">
        <f>C64*D64</f>
        <v/>
      </c>
    </row>
    <row r="65">
      <c r="A65" s="4" t="n">
        <v>61</v>
      </c>
      <c r="B65" s="5" t="inlineStr">
        <is>
          <t>Pages CMS: permalink-based page creation with rich text and server-side HTML sanitization</t>
        </is>
      </c>
      <c r="C65" s="4" t="n">
        <v>40</v>
      </c>
      <c r="D65" s="4" t="n">
        <v>50</v>
      </c>
      <c r="E65" s="4">
        <f>C65*D65</f>
        <v/>
      </c>
    </row>
    <row r="66">
      <c r="A66" s="4" t="n">
        <v>62</v>
      </c>
      <c r="B66" s="5" t="inlineStr">
        <is>
          <t>Global site settings and configuration management</t>
        </is>
      </c>
      <c r="C66" s="4" t="n">
        <v>16</v>
      </c>
      <c r="D66" s="4" t="n">
        <v>50</v>
      </c>
      <c r="E66" s="4">
        <f>C66*D66</f>
        <v/>
      </c>
    </row>
    <row r="67">
      <c r="A67" s="4" t="n">
        <v>63</v>
      </c>
      <c r="B67" s="5" t="inlineStr">
        <is>
          <t>Site-wide SEO administration and server-side tracking configuration</t>
        </is>
      </c>
      <c r="C67" s="4" t="n">
        <v>24</v>
      </c>
      <c r="D67" s="4" t="n">
        <v>50</v>
      </c>
      <c r="E67" s="4">
        <f>C67*D67</f>
        <v/>
      </c>
    </row>
    <row r="68">
      <c r="A68" s="4" t="n">
        <v>64</v>
      </c>
      <c r="B68" s="5" t="inlineStr">
        <is>
          <t>AI translation administration with provider-agnostic model routing across eight switchable providers</t>
        </is>
      </c>
      <c r="C68" s="4" t="n">
        <v>48</v>
      </c>
      <c r="D68" s="4" t="n">
        <v>50</v>
      </c>
      <c r="E68" s="4">
        <f>C68*D68</f>
        <v/>
      </c>
    </row>
    <row r="69">
      <c r="A69" s="4" t="n">
        <v>65</v>
      </c>
      <c r="B69" s="5" t="inlineStr">
        <is>
          <t>Cookie consent integration and management (Consent Mode v2)</t>
        </is>
      </c>
      <c r="C69" s="4" t="n">
        <v>16</v>
      </c>
      <c r="D69" s="4" t="n">
        <v>50</v>
      </c>
      <c r="E69" s="4">
        <f>C69*D69</f>
        <v/>
      </c>
    </row>
    <row r="70">
      <c r="A70" s="4" t="n">
        <v>66</v>
      </c>
      <c r="B70" s="5" t="inlineStr">
        <is>
          <t>Instagram feed integration administration: connection, sync scheduling, curation and layout control</t>
        </is>
      </c>
      <c r="C70" s="4" t="n">
        <v>40</v>
      </c>
      <c r="D70" s="4" t="n">
        <v>50</v>
      </c>
      <c r="E70" s="4">
        <f>C70*D70</f>
        <v/>
      </c>
    </row>
    <row r="71">
      <c r="A71" s="4" t="n">
        <v>67</v>
      </c>
      <c r="B71" s="5" t="inlineStr">
        <is>
          <t>Platform review aggregation with a switchable provider (Trustpilot / Google)</t>
        </is>
      </c>
      <c r="C71" s="4" t="n">
        <v>24</v>
      </c>
      <c r="D71" s="4" t="n">
        <v>50</v>
      </c>
      <c r="E71" s="4">
        <f>C71*D71</f>
        <v/>
      </c>
    </row>
    <row r="72">
      <c r="A72" s="4" t="n">
        <v>68</v>
      </c>
      <c r="B72" s="5" t="inlineStr">
        <is>
          <t>Transactional and scheduled marketing email administration</t>
        </is>
      </c>
      <c r="C72" s="4" t="n">
        <v>32</v>
      </c>
      <c r="D72" s="4" t="n">
        <v>50</v>
      </c>
      <c r="E72" s="4">
        <f>C72*D72</f>
        <v/>
      </c>
    </row>
    <row r="73">
      <c r="A73" s="4" t="n">
        <v>69</v>
      </c>
      <c r="B73" s="5" t="inlineStr">
        <is>
          <t>Custom script injection engine: admin-managed vendor snippets rendered on public pages</t>
        </is>
      </c>
      <c r="C73" s="4" t="n">
        <v>24</v>
      </c>
      <c r="D73" s="4" t="n">
        <v>50</v>
      </c>
      <c r="E73" s="4">
        <f>C73*D73</f>
        <v/>
      </c>
    </row>
    <row r="74">
      <c r="A74" s="4" t="n">
        <v>70</v>
      </c>
      <c r="B74" s="5" t="inlineStr">
        <is>
          <t>Global operations calendar spanning all operators' departures, bookings, schedules and exceptions</t>
        </is>
      </c>
      <c r="C74" s="4" t="n">
        <v>40</v>
      </c>
      <c r="D74" s="4" t="n">
        <v>50</v>
      </c>
      <c r="E74" s="4">
        <f>C74*D74</f>
        <v/>
      </c>
    </row>
    <row r="75">
      <c r="A75" s="4" t="n">
        <v>71</v>
      </c>
      <c r="B75" s="5" t="inlineStr">
        <is>
          <t>Customer administration with bulk email and one-click review request dispatch</t>
        </is>
      </c>
      <c r="C75" s="4" t="n">
        <v>24</v>
      </c>
      <c r="D75" s="4" t="n">
        <v>50</v>
      </c>
      <c r="E75" s="4">
        <f>C75*D75</f>
        <v/>
      </c>
    </row>
    <row r="76">
      <c r="A76" s="4" t="n">
        <v>72</v>
      </c>
      <c r="B76" s="5" t="inlineStr">
        <is>
          <t>Operator payout and settlement administration: mark-as-paid with confirmation and undo</t>
        </is>
      </c>
      <c r="C76" s="4" t="n">
        <v>32</v>
      </c>
      <c r="D76" s="4" t="n">
        <v>50</v>
      </c>
      <c r="E76" s="4">
        <f>C76*D76</f>
        <v/>
      </c>
    </row>
    <row r="77">
      <c r="A77" s="4" t="n">
        <v>73</v>
      </c>
      <c r="B77" s="5" t="inlineStr">
        <is>
          <t>Full tour lifecycle administration, including availability and exceptions, within the tour wizard</t>
        </is>
      </c>
      <c r="C77" s="4" t="n">
        <v>48</v>
      </c>
      <c r="D77" s="4" t="n">
        <v>50</v>
      </c>
      <c r="E77" s="4">
        <f>C77*D77</f>
        <v/>
      </c>
    </row>
    <row r="78">
      <c r="A78" s="4" t="n">
        <v>74</v>
      </c>
      <c r="B78" s="5" t="inlineStr">
        <is>
          <t>Submission moderation queue: change requests and publication of newly submitted tours (FIFO lane)</t>
        </is>
      </c>
      <c r="C78" s="4" t="n">
        <v>32</v>
      </c>
      <c r="D78" s="4" t="n">
        <v>50</v>
      </c>
      <c r="E78" s="4">
        <f>C78*D78</f>
        <v/>
      </c>
    </row>
    <row r="79">
      <c r="A79" s="4" t="n">
        <v>75</v>
      </c>
      <c r="B79" s="5" t="inlineStr">
        <is>
          <t>Content-change moderation queue for live tours with field-level diff review</t>
        </is>
      </c>
      <c r="C79" s="4" t="n">
        <v>40</v>
      </c>
      <c r="D79" s="4" t="n">
        <v>50</v>
      </c>
      <c r="E79" s="4">
        <f>C79*D79</f>
        <v/>
      </c>
    </row>
    <row r="80">
      <c r="A80" s="4" t="n">
        <v>76</v>
      </c>
      <c r="B80" s="5" t="inlineStr">
        <is>
          <t>Multi-model payment orchestration: deposit via operator link, on arrival, paid in full and operator-collected</t>
        </is>
      </c>
      <c r="C80" s="4" t="n">
        <v>40</v>
      </c>
      <c r="D80" s="4" t="n">
        <v>50</v>
      </c>
      <c r="E80" s="4">
        <f>C80*D80</f>
        <v/>
      </c>
    </row>
    <row r="81">
      <c r="A81" s="4" t="n">
        <v>77</v>
      </c>
      <c r="B81" s="5" t="inlineStr">
        <is>
          <t>Tour badge administration (Sponsored, Most Popular, Likely to Sell Out, New) with precedence rules</t>
        </is>
      </c>
      <c r="C81" s="4" t="n">
        <v>16</v>
      </c>
      <c r="D81" s="4" t="n">
        <v>50</v>
      </c>
      <c r="E81" s="4">
        <f>C81*D81</f>
        <v/>
      </c>
    </row>
    <row r="82">
      <c r="A82" s="4" t="n">
        <v>78</v>
      </c>
      <c r="B82" s="5" t="inlineStr">
        <is>
          <t>Unified administration of page content, FAQs, translations and localization</t>
        </is>
      </c>
      <c r="C82" s="4" t="n">
        <v>40</v>
      </c>
      <c r="D82" s="4" t="n">
        <v>50</v>
      </c>
      <c r="E82" s="4">
        <f>C82*D82</f>
        <v/>
      </c>
    </row>
    <row r="83">
      <c r="A83" s="4" t="n">
        <v>79</v>
      </c>
      <c r="B83" s="5" t="inlineStr">
        <is>
          <t>Search dropdown and popular-link curation administration</t>
        </is>
      </c>
      <c r="C83" s="4" t="n">
        <v>16</v>
      </c>
      <c r="D83" s="4" t="n">
        <v>50</v>
      </c>
      <c r="E83" s="4">
        <f>C83*D83</f>
        <v/>
      </c>
    </row>
    <row r="84">
      <c r="A84" s="4" t="n">
        <v>80</v>
      </c>
      <c r="B84" s="5" t="inlineStr">
        <is>
          <t>Role and permission administration: RBAC and PBAC with ~140 deny-by-default permissions</t>
        </is>
      </c>
      <c r="C84" s="4" t="n">
        <v>56</v>
      </c>
      <c r="D84" s="4" t="n">
        <v>50</v>
      </c>
      <c r="E84" s="4">
        <f>C84*D84</f>
        <v/>
      </c>
    </row>
    <row r="85">
      <c r="A85" s="4" t="n">
        <v>81</v>
      </c>
      <c r="B85" s="5" t="inlineStr">
        <is>
          <t>Tour search and filter engine: relevance ranking, tier-aware ordering and typeahead suggestions</t>
        </is>
      </c>
      <c r="C85" s="4" t="n">
        <v>48</v>
      </c>
      <c r="D85" s="4" t="n">
        <v>50</v>
      </c>
      <c r="E85" s="4">
        <f>C85*D85</f>
        <v/>
      </c>
    </row>
    <row r="86">
      <c r="A86" s="4" t="n">
        <v>82</v>
      </c>
      <c r="B86" s="5" t="inlineStr">
        <is>
          <t>Platform-wide financial reporting: gross booking value, commission and refunds</t>
        </is>
      </c>
      <c r="C86" s="4" t="n">
        <v>32</v>
      </c>
      <c r="D86" s="4" t="n">
        <v>50</v>
      </c>
      <c r="E86" s="4">
        <f>C86*D86</f>
        <v/>
      </c>
    </row>
    <row r="87">
      <c r="A87" s="4" t="n">
        <v>83</v>
      </c>
      <c r="B87" s="5" t="inlineStr">
        <is>
          <t>Booking outcome analytics: commit rates, funnel and payment-mix breakdowns</t>
        </is>
      </c>
      <c r="C87" s="4" t="n">
        <v>24</v>
      </c>
      <c r="D87" s="4" t="n">
        <v>50</v>
      </c>
      <c r="E87" s="4">
        <f>C87*D87</f>
        <v/>
      </c>
    </row>
    <row r="88">
      <c r="A88" s="4" t="n">
        <v>84</v>
      </c>
      <c r="B88" s="5" t="inlineStr">
        <is>
          <t>Centralized media library: signed uploads, bulk operations and shared pickers for images and video</t>
        </is>
      </c>
      <c r="C88" s="4" t="n">
        <v>40</v>
      </c>
      <c r="D88" s="4" t="n">
        <v>50</v>
      </c>
      <c r="E88" s="4">
        <f>C88*D88</f>
        <v/>
      </c>
    </row>
    <row r="89">
      <c r="A89" s="4" t="n">
        <v>85</v>
      </c>
      <c r="B89" s="5" t="inlineStr">
        <is>
          <t>Site-wide translation workspace: seven-locale coverage matrix with per-field AI translation</t>
        </is>
      </c>
      <c r="C89" s="4" t="n">
        <v>48</v>
      </c>
      <c r="D89" s="4" t="n">
        <v>50</v>
      </c>
      <c r="E89" s="4">
        <f>C89*D89</f>
        <v/>
      </c>
    </row>
    <row r="90">
      <c r="A90" s="4" t="n">
        <v>86</v>
      </c>
      <c r="B90" s="5" t="inlineStr">
        <is>
          <t>WhatsApp support integration with a dashboard-managed number and deep links across site and email surfaces</t>
        </is>
      </c>
      <c r="C90" s="4" t="n">
        <v>8</v>
      </c>
      <c r="D90" s="4" t="n">
        <v>50</v>
      </c>
      <c r="E90" s="4">
        <f>C90*D90</f>
        <v/>
      </c>
    </row>
    <row r="91">
      <c r="A91" s="6" t="n"/>
      <c r="B91" s="7" t="inlineStr">
        <is>
          <t>Subtotal: Admin (Island Tours) Features (Admin Dashboard)</t>
        </is>
      </c>
      <c r="C91" s="8">
        <f>SUM(C43:C90)</f>
        <v/>
      </c>
      <c r="D91" s="6" t="n"/>
      <c r="E91" s="8">
        <f>SUM(E43:E90)</f>
        <v/>
      </c>
    </row>
    <row r="92" ht="20" customHeight="1">
      <c r="A92" s="2" t="n"/>
      <c r="B92" s="3" t="inlineStr">
        <is>
          <t>Staff &amp; Teams Features</t>
        </is>
      </c>
      <c r="C92" s="2" t="n"/>
      <c r="D92" s="2" t="n"/>
      <c r="E92" s="2" t="n"/>
    </row>
    <row r="93">
      <c r="A93" s="4" t="n">
        <v>87</v>
      </c>
      <c r="B93" s="5" t="inlineStr">
        <is>
          <t>Role-based dashboard access with predefined permission sets</t>
        </is>
      </c>
      <c r="C93" s="4" t="n">
        <v>16</v>
      </c>
      <c r="D93" s="4" t="n">
        <v>50</v>
      </c>
      <c r="E93" s="4">
        <f>C93*D93</f>
        <v/>
      </c>
    </row>
    <row r="94">
      <c r="A94" s="4" t="n">
        <v>88</v>
      </c>
      <c r="B94" s="5" t="inlineStr">
        <is>
          <t>Catalog curation and editorial operations under assigned rights</t>
        </is>
      </c>
      <c r="C94" s="4" t="n">
        <v>16</v>
      </c>
      <c r="D94" s="4" t="n">
        <v>50</v>
      </c>
      <c r="E94" s="4">
        <f>C94*D94</f>
        <v/>
      </c>
    </row>
    <row r="95">
      <c r="A95" s="4" t="n">
        <v>89</v>
      </c>
      <c r="B95" s="5" t="inlineStr">
        <is>
          <t>Review moderation and customer support operations</t>
        </is>
      </c>
      <c r="C95" s="4" t="n">
        <v>16</v>
      </c>
      <c r="D95" s="4" t="n">
        <v>50</v>
      </c>
      <c r="E95" s="4">
        <f>C95*D95</f>
        <v/>
      </c>
    </row>
    <row r="96">
      <c r="A96" s="4" t="n">
        <v>90</v>
      </c>
      <c r="B96" s="5" t="inlineStr">
        <is>
          <t>Read access to operator tour listings and operational readiness statuses</t>
        </is>
      </c>
      <c r="C96" s="4" t="n">
        <v>8</v>
      </c>
      <c r="D96" s="4" t="n">
        <v>50</v>
      </c>
      <c r="E96" s="4">
        <f>C96*D96</f>
        <v/>
      </c>
    </row>
    <row r="97">
      <c r="A97" s="4" t="n">
        <v>91</v>
      </c>
      <c r="B97" s="5" t="inlineStr">
        <is>
          <t>Cancellation request processing within permitted scope</t>
        </is>
      </c>
      <c r="C97" s="4" t="n">
        <v>8</v>
      </c>
      <c r="D97" s="4" t="n">
        <v>50</v>
      </c>
      <c r="E97" s="4">
        <f>C97*D97</f>
        <v/>
      </c>
    </row>
    <row r="98">
      <c r="A98" s="4" t="n">
        <v>92</v>
      </c>
      <c r="B98" s="5" t="inlineStr">
        <is>
          <t>Designation-scoped visibility into operator and platform metrics</t>
        </is>
      </c>
      <c r="C98" s="4" t="n">
        <v>8</v>
      </c>
      <c r="D98" s="4" t="n">
        <v>50</v>
      </c>
      <c r="E98" s="4">
        <f>C98*D98</f>
        <v/>
      </c>
    </row>
    <row r="99">
      <c r="A99" s="4" t="n">
        <v>93</v>
      </c>
      <c r="B99" s="5" t="inlineStr">
        <is>
          <t>Unified Staff &amp; Teams engine: a single seat model for platform staff and operator teams, reusable designation templates, and effective-permission computation with grant ceilings and permission floors</t>
        </is>
      </c>
      <c r="C99" s="4" t="n">
        <v>64</v>
      </c>
      <c r="D99" s="4" t="n">
        <v>50</v>
      </c>
      <c r="E99" s="4">
        <f>C99*D99</f>
        <v/>
      </c>
    </row>
    <row r="100">
      <c r="A100" s="4" t="n">
        <v>94</v>
      </c>
      <c r="B100" s="5" t="inlineStr">
        <is>
          <t>Seat lifecycle management: email invitations, acceptance, activation and suspension with immediate session revocation</t>
        </is>
      </c>
      <c r="C100" s="4" t="n">
        <v>32</v>
      </c>
      <c r="D100" s="4" t="n">
        <v>50</v>
      </c>
      <c r="E100" s="4">
        <f>C100*D100</f>
        <v/>
      </c>
    </row>
    <row r="101">
      <c r="A101" s="4" t="n">
        <v>95</v>
      </c>
      <c r="B101" s="5" t="inlineStr">
        <is>
          <t>Dedicated staff login surface with enumeration-proof sign-in, forgot-password and reset flows</t>
        </is>
      </c>
      <c r="C101" s="4" t="n">
        <v>16</v>
      </c>
      <c r="D101" s="4" t="n">
        <v>50</v>
      </c>
      <c r="E101" s="4">
        <f>C101*D101</f>
        <v/>
      </c>
    </row>
    <row r="102">
      <c r="A102" s="6" t="n"/>
      <c r="B102" s="7" t="inlineStr">
        <is>
          <t>Subtotal: Staff &amp; Teams Features</t>
        </is>
      </c>
      <c r="C102" s="8">
        <f>SUM(C93:C101)</f>
        <v/>
      </c>
      <c r="D102" s="6" t="n"/>
      <c r="E102" s="8">
        <f>SUM(E93:E101)</f>
        <v/>
      </c>
    </row>
    <row r="103" ht="20" customHeight="1">
      <c r="A103" s="2" t="n"/>
      <c r="B103" s="3" t="inlineStr">
        <is>
          <t>Traveller / Customer Account Features</t>
        </is>
      </c>
      <c r="C103" s="2" t="n"/>
      <c r="D103" s="2" t="n"/>
      <c r="E103" s="2" t="n"/>
    </row>
    <row r="104">
      <c r="A104" s="4" t="n">
        <v>96</v>
      </c>
      <c r="B104" s="5" t="inlineStr">
        <is>
          <t>Traveller account area: booking and payment listings with summary statistics</t>
        </is>
      </c>
      <c r="C104" s="4" t="n">
        <v>32</v>
      </c>
      <c r="D104" s="4" t="n">
        <v>50</v>
      </c>
      <c r="E104" s="4">
        <f>C104*D104</f>
        <v/>
      </c>
    </row>
    <row r="105">
      <c r="A105" s="4" t="n">
        <v>97</v>
      </c>
      <c r="B105" s="5" t="inlineStr">
        <is>
          <t>Booking tracking page: design and dynamic implementation</t>
        </is>
      </c>
      <c r="C105" s="4" t="n">
        <v>24</v>
      </c>
      <c r="D105" s="4" t="n">
        <v>50</v>
      </c>
      <c r="E105" s="4">
        <f>C105*D105</f>
        <v/>
      </c>
    </row>
    <row r="106">
      <c r="A106" s="4" t="n">
        <v>98</v>
      </c>
      <c r="B106" s="5" t="inlineStr">
        <is>
          <t>Self-service cancellation flow with refund-outcome state handling</t>
        </is>
      </c>
      <c r="C106" s="4" t="n">
        <v>24</v>
      </c>
      <c r="D106" s="4" t="n">
        <v>50</v>
      </c>
      <c r="E106" s="4">
        <f>C106*D106</f>
        <v/>
      </c>
    </row>
    <row r="107">
      <c r="A107" s="4" t="n">
        <v>99</v>
      </c>
      <c r="B107" s="5" t="inlineStr">
        <is>
          <t>Tokenized marketing email unsubscribe page</t>
        </is>
      </c>
      <c r="C107" s="4" t="n">
        <v>8</v>
      </c>
      <c r="D107" s="4" t="n">
        <v>50</v>
      </c>
      <c r="E107" s="4">
        <f>C107*D107</f>
        <v/>
      </c>
    </row>
    <row r="108">
      <c r="A108" s="4" t="n">
        <v>100</v>
      </c>
      <c r="B108" s="5" t="inlineStr">
        <is>
          <t>Review submission page accessed through signed, secured links</t>
        </is>
      </c>
      <c r="C108" s="4" t="n">
        <v>16</v>
      </c>
      <c r="D108" s="4" t="n">
        <v>50</v>
      </c>
      <c r="E108" s="4">
        <f>C108*D108</f>
        <v/>
      </c>
    </row>
    <row r="109">
      <c r="A109" s="4" t="n">
        <v>101</v>
      </c>
      <c r="B109" s="5" t="inlineStr">
        <is>
          <t>Traveller login page: design and dynamic implementation</t>
        </is>
      </c>
      <c r="C109" s="4" t="n">
        <v>16</v>
      </c>
      <c r="D109" s="4" t="n">
        <v>50</v>
      </c>
      <c r="E109" s="4">
        <f>C109*D109</f>
        <v/>
      </c>
    </row>
    <row r="110">
      <c r="A110" s="4" t="n">
        <v>102</v>
      </c>
      <c r="B110" s="5" t="inlineStr">
        <is>
          <t>Automatic traveller account provisioning on first booking, with welcome / set-password email</t>
        </is>
      </c>
      <c r="C110" s="4" t="n">
        <v>24</v>
      </c>
      <c r="D110" s="4" t="n">
        <v>50</v>
      </c>
      <c r="E110" s="4">
        <f>C110*D110</f>
        <v/>
      </c>
    </row>
    <row r="111">
      <c r="A111" s="4" t="n">
        <v>103</v>
      </c>
      <c r="B111" s="5" t="inlineStr">
        <is>
          <t>Booking-reference lookup authentication (email + reference) with lost-reference recovery and rate limiting</t>
        </is>
      </c>
      <c r="C111" s="4" t="n">
        <v>24</v>
      </c>
      <c r="D111" s="4" t="n">
        <v>50</v>
      </c>
      <c r="E111" s="4">
        <f>C111*D111</f>
        <v/>
      </c>
    </row>
    <row r="112">
      <c r="A112" s="4" t="n">
        <v>104</v>
      </c>
      <c r="B112" s="5" t="inlineStr">
        <is>
          <t>Booking session security: signed session tokens, masked thank-you rendering and enumeration-proof lookups</t>
        </is>
      </c>
      <c r="C112" s="4" t="n">
        <v>32</v>
      </c>
      <c r="D112" s="4" t="n">
        <v>50</v>
      </c>
      <c r="E112" s="4">
        <f>C112*D112</f>
        <v/>
      </c>
    </row>
    <row r="113">
      <c r="A113" s="4" t="n">
        <v>105</v>
      </c>
      <c r="B113" s="5" t="inlineStr">
        <is>
          <t>Traveller profile management and printable payment receipts</t>
        </is>
      </c>
      <c r="C113" s="4" t="n">
        <v>16</v>
      </c>
      <c r="D113" s="4" t="n">
        <v>50</v>
      </c>
      <c r="E113" s="4">
        <f>C113*D113</f>
        <v/>
      </c>
    </row>
    <row r="114">
      <c r="A114" s="4" t="n">
        <v>106</v>
      </c>
      <c r="B114" s="5" t="inlineStr">
        <is>
          <t>Self-service date-change engine: atomic seat swap within the free-cancellation window</t>
        </is>
      </c>
      <c r="C114" s="4" t="n">
        <v>32</v>
      </c>
      <c r="D114" s="4" t="n">
        <v>50</v>
      </c>
      <c r="E114" s="4">
        <f>C114*D114</f>
        <v/>
      </c>
    </row>
    <row r="115">
      <c r="A115" s="4" t="n">
        <v>107</v>
      </c>
      <c r="B115" s="5" t="inlineStr">
        <is>
          <t>Add-to-calendar (ICS) export and confirmation resend from booking pages</t>
        </is>
      </c>
      <c r="C115" s="4" t="n">
        <v>8</v>
      </c>
      <c r="D115" s="4" t="n">
        <v>50</v>
      </c>
      <c r="E115" s="4">
        <f>C115*D115</f>
        <v/>
      </c>
    </row>
    <row r="116">
      <c r="A116" s="6" t="n"/>
      <c r="B116" s="7" t="inlineStr">
        <is>
          <t>Subtotal: Traveller / Customer Account Features</t>
        </is>
      </c>
      <c r="C116" s="8">
        <f>SUM(C104:C115)</f>
        <v/>
      </c>
      <c r="D116" s="6" t="n"/>
      <c r="E116" s="8">
        <f>SUM(E104:E115)</f>
        <v/>
      </c>
    </row>
    <row r="117" ht="20" customHeight="1">
      <c r="A117" s="2" t="n"/>
      <c r="B117" s="3" t="inlineStr">
        <is>
          <t>Public Website (Frontend) Features</t>
        </is>
      </c>
      <c r="C117" s="2" t="n"/>
      <c r="D117" s="2" t="n"/>
      <c r="E117" s="2" t="n"/>
    </row>
    <row r="118">
      <c r="A118" s="4" t="n">
        <v>108</v>
      </c>
      <c r="B118" s="5" t="inlineStr">
        <is>
          <t>Slug registry integration for frontend routing and rendering: automatic 301 redirects and a 90-day slug reuse cooldown</t>
        </is>
      </c>
      <c r="C118" s="4" t="n">
        <v>40</v>
      </c>
      <c r="D118" s="4" t="n">
        <v>50</v>
      </c>
      <c r="E118" s="4">
        <f>C118*D118</f>
        <v/>
      </c>
    </row>
    <row r="119">
      <c r="A119" s="4" t="n">
        <v>109</v>
      </c>
      <c r="B119" s="5" t="inlineStr">
        <is>
          <t>Public wishlist functionality: optimistic heart toggles backed by a list API</t>
        </is>
      </c>
      <c r="C119" s="4" t="n">
        <v>16</v>
      </c>
      <c r="D119" s="4" t="n">
        <v>50</v>
      </c>
      <c r="E119" s="4">
        <f>C119*D119</f>
        <v/>
      </c>
    </row>
    <row r="120">
      <c r="A120" s="4" t="n">
        <v>110</v>
      </c>
      <c r="B120" s="5" t="inlineStr">
        <is>
          <t>Public site design system and page foundation: design tokens, typography scale, responsive layouts and motion standards</t>
        </is>
      </c>
      <c r="C120" s="4" t="n">
        <v>64</v>
      </c>
      <c r="D120" s="4" t="n">
        <v>50</v>
      </c>
      <c r="E120" s="4">
        <f>C120*D120</f>
        <v/>
      </c>
    </row>
    <row r="121">
      <c r="A121" s="4" t="n">
        <v>111</v>
      </c>
      <c r="B121" s="5" t="inlineStr">
        <is>
          <t>Homepage: design and dynamic implementation (hero island search, trust strip, top experiences, testimonials, editorial banner, FAQs)</t>
        </is>
      </c>
      <c r="C121" s="4" t="n">
        <v>40</v>
      </c>
      <c r="D121" s="4" t="n">
        <v>50</v>
      </c>
      <c r="E121" s="4">
        <f>C121*D121</f>
        <v/>
      </c>
    </row>
    <row r="122">
      <c r="A122" s="4" t="n">
        <v>112</v>
      </c>
      <c r="B122" s="5" t="inlineStr">
        <is>
          <t>Destination page: design and dynamic implementation (locals' favourites, collections, category quick links, editorial copy, FAQs, Instagram strip)</t>
        </is>
      </c>
      <c r="C122" s="4" t="n">
        <v>40</v>
      </c>
      <c r="D122" s="4" t="n">
        <v>50</v>
      </c>
      <c r="E122" s="4">
        <f>C122*D122</f>
        <v/>
      </c>
    </row>
    <row r="123">
      <c r="A123" s="4" t="n">
        <v>113</v>
      </c>
      <c r="B123" s="5" t="inlineStr">
        <is>
          <t>All-tours listing page: design and dynamic implementation (filterable, sortable, paginated per-destination catalog)</t>
        </is>
      </c>
      <c r="C123" s="4" t="n">
        <v>40</v>
      </c>
      <c r="D123" s="4" t="n">
        <v>50</v>
      </c>
      <c r="E123" s="4">
        <f>C123*D123</f>
        <v/>
      </c>
    </row>
    <row r="124">
      <c r="A124" s="4" t="n">
        <v>114</v>
      </c>
      <c r="B124" s="5" t="inlineStr">
        <is>
          <t>Category page: design and dynamic implementation (ranked grid, editorial content, three-tour visibility gating)</t>
        </is>
      </c>
      <c r="C124" s="4" t="n">
        <v>32</v>
      </c>
      <c r="D124" s="4" t="n">
        <v>50</v>
      </c>
      <c r="E124" s="4">
        <f>C124*D124</f>
        <v/>
      </c>
    </row>
    <row r="125">
      <c r="A125" s="4" t="n">
        <v>115</v>
      </c>
      <c r="B125" s="5" t="inlineStr">
        <is>
          <t>Activity hub page: design and dynamic implementation (fast facts, curated picks, comparison table, local tips, related hubs)</t>
        </is>
      </c>
      <c r="C125" s="4" t="n">
        <v>56</v>
      </c>
      <c r="D125" s="4" t="n">
        <v>50</v>
      </c>
      <c r="E125" s="4">
        <f>C125*D125</f>
        <v/>
      </c>
    </row>
    <row r="126">
      <c r="A126" s="4" t="n">
        <v>116</v>
      </c>
      <c r="B126" s="5" t="inlineStr">
        <is>
          <t>Collection page: design and dynamic implementation (curated grids, rationale copy, numbered and persona list styles)</t>
        </is>
      </c>
      <c r="C126" s="4" t="n">
        <v>32</v>
      </c>
      <c r="D126" s="4" t="n">
        <v>50</v>
      </c>
      <c r="E126" s="4">
        <f>C126*D126</f>
        <v/>
      </c>
    </row>
    <row r="127">
      <c r="A127" s="4" t="n">
        <v>117</v>
      </c>
      <c r="B127" s="5" t="inlineStr">
        <is>
          <t>Tour detail page: design and dynamic implementation (gallery, content sections, meeting and pickup logic, reviews, related tours, structured data)</t>
        </is>
      </c>
      <c r="C127" s="4" t="n">
        <v>72</v>
      </c>
      <c r="D127" s="4" t="n">
        <v>50</v>
      </c>
      <c r="E127" s="4">
        <f>C127*D127</f>
        <v/>
      </c>
    </row>
    <row r="128">
      <c r="A128" s="4" t="n">
        <v>118</v>
      </c>
      <c r="B128" s="5" t="inlineStr">
        <is>
          <t>Checkout page: design and dynamic implementation (contact, pickup, special requests, persistent summary, inline validation)</t>
        </is>
      </c>
      <c r="C128" s="4" t="n">
        <v>64</v>
      </c>
      <c r="D128" s="4" t="n">
        <v>50</v>
      </c>
      <c r="E128" s="4">
        <f>C128*D128</f>
        <v/>
      </c>
    </row>
    <row r="129">
      <c r="A129" s="4" t="n">
        <v>119</v>
      </c>
      <c r="B129" s="5" t="inlineStr">
        <is>
          <t>Thank-you page: design and dynamic implementation (payment-model-aware confirmation, next steps, cross-sell, conversion event)</t>
        </is>
      </c>
      <c r="C129" s="4" t="n">
        <v>32</v>
      </c>
      <c r="D129" s="4" t="n">
        <v>50</v>
      </c>
      <c r="E129" s="4">
        <f>C129*D129</f>
        <v/>
      </c>
    </row>
    <row r="130">
      <c r="A130" s="4" t="n">
        <v>120</v>
      </c>
      <c r="B130" s="5" t="inlineStr">
        <is>
          <t>Search results page: design and dynamic implementation</t>
        </is>
      </c>
      <c r="C130" s="4" t="n">
        <v>24</v>
      </c>
      <c r="D130" s="4" t="n">
        <v>50</v>
      </c>
      <c r="E130" s="4">
        <f>C130*D130</f>
        <v/>
      </c>
    </row>
    <row r="131">
      <c r="A131" s="4" t="n">
        <v>121</v>
      </c>
      <c r="B131" s="5" t="inlineStr">
        <is>
          <t>Wishlist page: design and dynamic implementation</t>
        </is>
      </c>
      <c r="C131" s="4" t="n">
        <v>16</v>
      </c>
      <c r="D131" s="4" t="n">
        <v>50</v>
      </c>
      <c r="E131" s="4">
        <f>C131*D131</f>
        <v/>
      </c>
    </row>
    <row r="132">
      <c r="A132" s="4" t="n">
        <v>122</v>
      </c>
      <c r="B132" s="5" t="inlineStr">
        <is>
          <t>Error and 404 pages: design and implementation</t>
        </is>
      </c>
      <c r="C132" s="4" t="n">
        <v>8</v>
      </c>
      <c r="D132" s="4" t="n">
        <v>50</v>
      </c>
      <c r="E132" s="4">
        <f>C132*D132</f>
        <v/>
      </c>
    </row>
    <row r="133">
      <c r="A133" s="4" t="n">
        <v>123</v>
      </c>
      <c r="B133" s="5" t="inlineStr">
        <is>
          <t>Server-side tracking, SEO metadata, structured JSON-LD and sitemap generation</t>
        </is>
      </c>
      <c r="C133" s="4" t="n">
        <v>48</v>
      </c>
      <c r="D133" s="4" t="n">
        <v>50</v>
      </c>
      <c r="E133" s="4">
        <f>C133*D133</f>
        <v/>
      </c>
    </row>
    <row r="134">
      <c r="A134" s="4" t="n">
        <v>124</v>
      </c>
      <c r="B134" s="5" t="inlineStr">
        <is>
          <t>Parallel and intercepting routes for operator condition documents: in-flow modal plus a persistent canonical URL</t>
        </is>
      </c>
      <c r="C134" s="4" t="n">
        <v>16</v>
      </c>
      <c r="D134" s="4" t="n">
        <v>50</v>
      </c>
      <c r="E134" s="4">
        <f>C134*D134</f>
        <v/>
      </c>
    </row>
    <row r="135">
      <c r="A135" s="4" t="n">
        <v>125</v>
      </c>
      <c r="B135" s="5" t="inlineStr">
        <is>
          <t>Legal page suite: six CMS-backed pages plus cookie preference management</t>
        </is>
      </c>
      <c r="C135" s="4" t="n">
        <v>16</v>
      </c>
      <c r="D135" s="4" t="n">
        <v>50</v>
      </c>
      <c r="E135" s="4">
        <f>C135*D135</f>
        <v/>
      </c>
    </row>
    <row r="136">
      <c r="A136" s="4" t="n">
        <v>126</v>
      </c>
      <c r="B136" s="5" t="inlineStr">
        <is>
          <t>Dynamic booking widget: live availability calendar, time slots, party and age-band selection, add-ons and server-authoritative quotes across seven locales</t>
        </is>
      </c>
      <c r="C136" s="4" t="n">
        <v>96</v>
      </c>
      <c r="D136" s="4" t="n">
        <v>50</v>
      </c>
      <c r="E136" s="4">
        <f>C136*D136</f>
        <v/>
      </c>
    </row>
    <row r="137">
      <c r="A137" s="4" t="n">
        <v>127</v>
      </c>
      <c r="B137" s="5" t="inlineStr">
        <is>
          <t>Payment method interface: inline card element plus PayPal and iDEAL redirects, a collapsed method list and a processing page with settle-on-return</t>
        </is>
      </c>
      <c r="C137" s="4" t="n">
        <v>40</v>
      </c>
      <c r="D137" s="4" t="n">
        <v>50</v>
      </c>
      <c r="E137" s="4">
        <f>C137*D137</f>
        <v/>
      </c>
    </row>
    <row r="138">
      <c r="A138" s="4" t="n">
        <v>128</v>
      </c>
      <c r="B138" s="5" t="inlineStr">
        <is>
          <t>Global navigation and footer system: island selector, category dropdown, search entry, language and currency switchers, mobile menu</t>
        </is>
      </c>
      <c r="C138" s="4" t="n">
        <v>32</v>
      </c>
      <c r="D138" s="4" t="n">
        <v>50</v>
      </c>
      <c r="E138" s="4">
        <f>C138*D138</f>
        <v/>
      </c>
    </row>
    <row r="139">
      <c r="A139" s="4" t="n">
        <v>129</v>
      </c>
      <c r="B139" s="5" t="inlineStr">
        <is>
          <t>Site-wide search typeahead with grouped suggestions and a curated zero-state panel</t>
        </is>
      </c>
      <c r="C139" s="4" t="n">
        <v>24</v>
      </c>
      <c r="D139" s="4" t="n">
        <v>50</v>
      </c>
      <c r="E139" s="4">
        <f>C139*D139</f>
        <v/>
      </c>
    </row>
    <row r="140">
      <c r="A140" s="4" t="n">
        <v>130</v>
      </c>
      <c r="B140" s="5" t="inlineStr">
        <is>
          <t>Standard tour card component: photo carousel, badge system and wishlist heart, shared across all listing surfaces</t>
        </is>
      </c>
      <c r="C140" s="4" t="n">
        <v>32</v>
      </c>
      <c r="D140" s="4" t="n">
        <v>50</v>
      </c>
      <c r="E140" s="4">
        <f>C140*D140</f>
        <v/>
      </c>
    </row>
    <row r="141">
      <c r="A141" s="4" t="n">
        <v>131</v>
      </c>
      <c r="B141" s="5" t="inlineStr">
        <is>
          <t>Faceted filtering and sorting system: filter modal, URL-persisted state, applied chips, pagination and dual result counts</t>
        </is>
      </c>
      <c r="C141" s="4" t="n">
        <v>40</v>
      </c>
      <c r="D141" s="4" t="n">
        <v>50</v>
      </c>
      <c r="E141" s="4">
        <f>C141*D141</f>
        <v/>
      </c>
    </row>
    <row r="142">
      <c r="A142" s="4" t="n">
        <v>132</v>
      </c>
      <c r="B142" s="5" t="inlineStr">
        <is>
          <t>Tour page review presentation: rating summary, star distribution, filtering and machine-translated reviews with a show-original toggle</t>
        </is>
      </c>
      <c r="C142" s="4" t="n">
        <v>32</v>
      </c>
      <c r="D142" s="4" t="n">
        <v>50</v>
      </c>
      <c r="E142" s="4">
        <f>C142*D142</f>
        <v/>
      </c>
    </row>
    <row r="143">
      <c r="A143" s="4" t="n">
        <v>133</v>
      </c>
      <c r="B143" s="5" t="inlineStr">
        <is>
          <t>Seven-locale public site delivery with per-field English fallback and locale-prefixed routing</t>
        </is>
      </c>
      <c r="C143" s="4" t="n">
        <v>56</v>
      </c>
      <c r="D143" s="4" t="n">
        <v>50</v>
      </c>
      <c r="E143" s="4">
        <f>C143*D143</f>
        <v/>
      </c>
    </row>
    <row r="144">
      <c r="A144" s="4" t="n">
        <v>134</v>
      </c>
      <c r="B144" s="5" t="inlineStr">
        <is>
          <t>Multi-currency display layer: geolocation-detected defaults, footer switcher and live re-pricing of mounted pages</t>
        </is>
      </c>
      <c r="C144" s="4" t="n">
        <v>32</v>
      </c>
      <c r="D144" s="4" t="n">
        <v>50</v>
      </c>
      <c r="E144" s="4">
        <f>C144*D144</f>
        <v/>
      </c>
    </row>
    <row r="145">
      <c r="A145" s="4" t="n">
        <v>135</v>
      </c>
      <c r="B145" s="5" t="inlineStr">
        <is>
          <t>Rendering architecture: partial prerendering, cached data loaders with tag-based invalidation, streaming skeletons and a cross-application cache revalidation bridge</t>
        </is>
      </c>
      <c r="C145" s="4" t="n">
        <v>48</v>
      </c>
      <c r="D145" s="4" t="n">
        <v>50</v>
      </c>
      <c r="E145" s="4">
        <f>C145*D145</f>
        <v/>
      </c>
    </row>
    <row r="146">
      <c r="A146" s="6" t="n"/>
      <c r="B146" s="7" t="inlineStr">
        <is>
          <t>Subtotal: Public Website (Frontend) Features</t>
        </is>
      </c>
      <c r="C146" s="8">
        <f>SUM(C118:C145)</f>
        <v/>
      </c>
      <c r="D146" s="6" t="n"/>
      <c r="E146" s="8">
        <f>SUM(E118:E145)</f>
        <v/>
      </c>
    </row>
    <row r="147" ht="20" customHeight="1">
      <c r="A147" s="2" t="n"/>
      <c r="B147" s="3" t="inlineStr">
        <is>
          <t>Backend Platform &amp; Core Engines</t>
        </is>
      </c>
      <c r="C147" s="2" t="n"/>
      <c r="D147" s="2" t="n"/>
      <c r="E147" s="2" t="n"/>
    </row>
    <row r="148">
      <c r="A148" s="4" t="n">
        <v>136</v>
      </c>
      <c r="B148" s="5" t="inlineStr">
        <is>
          <t>Booking engine: server-side quotes, reserve/confirm/cancel lifecycle, hold expiry, overbooking-proof atomic seat claims, immutable snapshots and instant confirmation</t>
        </is>
      </c>
      <c r="C148" s="4" t="n">
        <v>96</v>
      </c>
      <c r="D148" s="4" t="n">
        <v>50</v>
      </c>
      <c r="E148" s="4">
        <f>C148*D148</f>
        <v/>
      </c>
    </row>
    <row r="149">
      <c r="A149" s="4" t="n">
        <v>137</v>
      </c>
      <c r="B149" s="5" t="inlineStr">
        <is>
          <t>Availability engine: weekly schedules and exceptions materialized into a rolling 12-month departure inventory, with nightly refresh and bookability recomputation</t>
        </is>
      </c>
      <c r="C149" s="4" t="n">
        <v>80</v>
      </c>
      <c r="D149" s="4" t="n">
        <v>50</v>
      </c>
      <c r="E149" s="4">
        <f>C149*D149</f>
        <v/>
      </c>
    </row>
    <row r="150">
      <c r="A150" s="4" t="n">
        <v>138</v>
      </c>
      <c r="B150" s="5" t="inlineStr">
        <is>
          <t>Server-authoritative pricing and quote engine: tamper-proof totals, deposit and balance splits, add-ons and pickup zones</t>
        </is>
      </c>
      <c r="C150" s="4" t="n">
        <v>48</v>
      </c>
      <c r="D150" s="4" t="n">
        <v>50</v>
      </c>
      <c r="E150" s="4">
        <f>C150*D150</f>
        <v/>
      </c>
    </row>
    <row r="151">
      <c r="A151" s="4" t="n">
        <v>139</v>
      </c>
      <c r="B151" s="5" t="inlineStr">
        <is>
          <t>Commission tier engine: five tiers, a 30-day change lock, commission snapshotting and deposit-percentage derivation</t>
        </is>
      </c>
      <c r="C151" s="4" t="n">
        <v>32</v>
      </c>
      <c r="D151" s="4" t="n">
        <v>50</v>
      </c>
      <c r="E151" s="4">
        <f>C151*D151</f>
        <v/>
      </c>
    </row>
    <row r="152">
      <c r="A152" s="4" t="n">
        <v>140</v>
      </c>
      <c r="B152" s="5" t="inlineStr">
        <is>
          <t>Eligibility engine: 90-day provisional window, nightly evaluation, notification, grace period and automatic demotion</t>
        </is>
      </c>
      <c r="C152" s="4" t="n">
        <v>40</v>
      </c>
      <c r="D152" s="4" t="n">
        <v>50</v>
      </c>
      <c r="E152" s="4">
        <f>C152*D152</f>
        <v/>
      </c>
    </row>
    <row r="153">
      <c r="A153" s="4" t="n">
        <v>141</v>
      </c>
      <c r="B153" s="5" t="inlineStr">
        <is>
          <t>Nightly quality-score computation and a canonical ranking query with a diversity pass</t>
        </is>
      </c>
      <c r="C153" s="4" t="n">
        <v>32</v>
      </c>
      <c r="D153" s="4" t="n">
        <v>50</v>
      </c>
      <c r="E153" s="4">
        <f>C153*D153</f>
        <v/>
      </c>
    </row>
    <row r="154">
      <c r="A154" s="4" t="n">
        <v>142</v>
      </c>
      <c r="B154" s="5" t="inlineStr">
        <is>
          <t>Destination Spotlight lifecycle: request, approval, active window and expiry, with a 35% commission overlay and max-3 enforcement</t>
        </is>
      </c>
      <c r="C154" s="4" t="n">
        <v>24</v>
      </c>
      <c r="D154" s="4" t="n">
        <v>50</v>
      </c>
      <c r="E154" s="4">
        <f>C154*D154</f>
        <v/>
      </c>
    </row>
    <row r="155">
      <c r="A155" s="4" t="n">
        <v>143</v>
      </c>
      <c r="B155" s="5" t="inlineStr">
        <is>
          <t>Settlement ledger engine: per-booking money position, post-cancellation-window payout eligibility and reversal self-healing</t>
        </is>
      </c>
      <c r="C155" s="4" t="n">
        <v>40</v>
      </c>
      <c r="D155" s="4" t="n">
        <v>50</v>
      </c>
      <c r="E155" s="4">
        <f>C155*D155</f>
        <v/>
      </c>
    </row>
    <row r="156">
      <c r="A156" s="4" t="n">
        <v>144</v>
      </c>
      <c r="B156" s="5" t="inlineStr">
        <is>
          <t>FX and multi-currency engine: immutable rate history, ECB rate provider, booking-time snapshots and PSP charge-rate reconciliation</t>
        </is>
      </c>
      <c r="C156" s="4" t="n">
        <v>40</v>
      </c>
      <c r="D156" s="4" t="n">
        <v>50</v>
      </c>
      <c r="E156" s="4">
        <f>C156*D156</f>
        <v/>
      </c>
    </row>
    <row r="157">
      <c r="A157" s="4" t="n">
        <v>145</v>
      </c>
      <c r="B157" s="5" t="inlineStr">
        <is>
          <t>Stripe payment processing: payment intents, signature-verified idempotent webhooks and refund execution with retry</t>
        </is>
      </c>
      <c r="C157" s="4" t="n">
        <v>48</v>
      </c>
      <c r="D157" s="4" t="n">
        <v>50</v>
      </c>
      <c r="E157" s="4">
        <f>C157*D157</f>
        <v/>
      </c>
    </row>
    <row r="158">
      <c r="A158" s="4" t="n">
        <v>146</v>
      </c>
      <c r="B158" s="5" t="inlineStr">
        <is>
          <t>Mollie payment provider: switchable PSP with hosted checkout, webhook reconciliation and provider-routed refunds</t>
        </is>
      </c>
      <c r="C158" s="4" t="n">
        <v>32</v>
      </c>
      <c r="D158" s="4" t="n">
        <v>50</v>
      </c>
      <c r="E158" s="4">
        <f>C158*D158</f>
        <v/>
      </c>
    </row>
    <row r="159">
      <c r="A159" s="4" t="n">
        <v>147</v>
      </c>
      <c r="B159" s="5" t="inlineStr">
        <is>
          <t>Cancellation engine: unified free-cancellation window, refund verdict computation, seat release and forfeiture workflow</t>
        </is>
      </c>
      <c r="C159" s="4" t="n">
        <v>32</v>
      </c>
      <c r="D159" s="4" t="n">
        <v>50</v>
      </c>
      <c r="E159" s="4">
        <f>C159*D159</f>
        <v/>
      </c>
    </row>
    <row r="160">
      <c r="A160" s="4" t="n">
        <v>148</v>
      </c>
      <c r="B160" s="5" t="inlineStr">
        <is>
          <t>Authentication platform: session engine, ordered guard chain, brute-force limits and four isolated login surfaces</t>
        </is>
      </c>
      <c r="C160" s="4" t="n">
        <v>56</v>
      </c>
      <c r="D160" s="4" t="n">
        <v>50</v>
      </c>
      <c r="E160" s="4">
        <f>C160*D160</f>
        <v/>
      </c>
    </row>
    <row r="161">
      <c r="A161" s="4" t="n">
        <v>149</v>
      </c>
      <c r="B161" s="5" t="inlineStr">
        <is>
          <t>Background job platform: queue infrastructure, scheduled jobs, a transactional outbox and the nightly commercial pipeline</t>
        </is>
      </c>
      <c r="C161" s="4" t="n">
        <v>40</v>
      </c>
      <c r="D161" s="4" t="n">
        <v>50</v>
      </c>
      <c r="E161" s="4">
        <f>C161*D161</f>
        <v/>
      </c>
    </row>
    <row r="162">
      <c r="A162" s="4" t="n">
        <v>150</v>
      </c>
      <c r="B162" s="5" t="inlineStr">
        <is>
          <t>OCTO-standard distribution API: supplier, tour and availability endpoints with capability negotiation and HMAC-signed webhooks</t>
        </is>
      </c>
      <c r="C162" s="4" t="n">
        <v>56</v>
      </c>
      <c r="D162" s="4" t="n">
        <v>50</v>
      </c>
      <c r="E162" s="4">
        <f>C162*D162</f>
        <v/>
      </c>
    </row>
    <row r="163">
      <c r="A163" s="4" t="n">
        <v>151</v>
      </c>
      <c r="B163" s="5" t="inlineStr">
        <is>
          <t>Review platform backend: booking-gated submission, moderation lifecycle, rating aggregates and the invitation loop</t>
        </is>
      </c>
      <c r="C163" s="4" t="n">
        <v>48</v>
      </c>
      <c r="D163" s="4" t="n">
        <v>50</v>
      </c>
      <c r="E163" s="4">
        <f>C163*D163</f>
        <v/>
      </c>
    </row>
    <row r="164">
      <c r="A164" s="4" t="n">
        <v>152</v>
      </c>
      <c r="B164" s="5" t="inlineStr">
        <is>
          <t>Media pipeline: Cloudinary signed uploads, asynchronous processing, metadata extraction and transformation policy</t>
        </is>
      </c>
      <c r="C164" s="4" t="n">
        <v>32</v>
      </c>
      <c r="D164" s="4" t="n">
        <v>50</v>
      </c>
      <c r="E164" s="4">
        <f>C164*D164</f>
        <v/>
      </c>
    </row>
    <row r="165">
      <c r="A165" s="6" t="n"/>
      <c r="B165" s="7" t="inlineStr">
        <is>
          <t>Subtotal: Backend Platform &amp; Core Engines</t>
        </is>
      </c>
      <c r="C165" s="8">
        <f>SUM(C148:C164)</f>
        <v/>
      </c>
      <c r="D165" s="6" t="n"/>
      <c r="E165" s="8">
        <f>SUM(E148:E164)</f>
        <v/>
      </c>
    </row>
    <row r="166" ht="20" customHeight="1">
      <c r="A166" s="2" t="n"/>
      <c r="B166" s="3" t="inlineStr">
        <is>
          <t>Emails &amp; Notifications</t>
        </is>
      </c>
      <c r="C166" s="2" t="n"/>
      <c r="D166" s="2" t="n"/>
      <c r="E166" s="2" t="n"/>
    </row>
    <row r="167">
      <c r="A167" s="4" t="n">
        <v>153</v>
      </c>
      <c r="B167" s="5" t="inlineStr">
        <is>
          <t>Booking confirmation email: wireframe-exact templating across seven locales and four payment models, with calendar attachment</t>
        </is>
      </c>
      <c r="C167" s="4" t="n">
        <v>40</v>
      </c>
      <c r="D167" s="4" t="n">
        <v>50</v>
      </c>
      <c r="E167" s="4">
        <f>C167*D167</f>
        <v/>
      </c>
    </row>
    <row r="168">
      <c r="A168" s="4" t="n">
        <v>154</v>
      </c>
      <c r="B168" s="5" t="inlineStr">
        <is>
          <t>Cancellation email suite: traveller acknowledgment, operator notice, admin work item and refund-verdict-aware confirmations</t>
        </is>
      </c>
      <c r="C168" s="4" t="n">
        <v>24</v>
      </c>
      <c r="D168" s="4" t="n">
        <v>50</v>
      </c>
      <c r="E168" s="4">
        <f>C168*D168</f>
        <v/>
      </c>
    </row>
    <row r="169">
      <c r="A169" s="4" t="n">
        <v>155</v>
      </c>
      <c r="B169" s="5" t="inlineStr">
        <is>
          <t>Pre-tour reminder email dispatched 24 hours before departure in island-local time, with logistics and cross-sell content</t>
        </is>
      </c>
      <c r="C169" s="4" t="n">
        <v>16</v>
      </c>
      <c r="D169" s="4" t="n">
        <v>50</v>
      </c>
      <c r="E169" s="4">
        <f>C169*D169</f>
        <v/>
      </c>
    </row>
    <row r="170">
      <c r="A170" s="4" t="n">
        <v>156</v>
      </c>
      <c r="B170" s="5" t="inlineStr">
        <is>
          <t>Review invitation and reminder emails with administrator-configured scheduling and a suppression matrix</t>
        </is>
      </c>
      <c r="C170" s="4" t="n">
        <v>16</v>
      </c>
      <c r="D170" s="4" t="n">
        <v>50</v>
      </c>
      <c r="E170" s="4">
        <f>C170*D170</f>
        <v/>
      </c>
    </row>
    <row r="171">
      <c r="A171" s="4" t="n">
        <v>157</v>
      </c>
      <c r="B171" s="5" t="inlineStr">
        <is>
          <t>Post-trip marketing email with consent capture and one-click unsubscribe</t>
        </is>
      </c>
      <c r="C171" s="4" t="n">
        <v>16</v>
      </c>
      <c r="D171" s="4" t="n">
        <v>50</v>
      </c>
      <c r="E171" s="4">
        <f>C171*D171</f>
        <v/>
      </c>
    </row>
    <row r="172">
      <c r="A172" s="4" t="n">
        <v>158</v>
      </c>
      <c r="B172" s="5" t="inlineStr">
        <is>
          <t>Operator onboarding email sequence: a nine-email drip with send windows and suppression rules</t>
        </is>
      </c>
      <c r="C172" s="4" t="n">
        <v>40</v>
      </c>
      <c r="D172" s="4" t="n">
        <v>50</v>
      </c>
      <c r="E172" s="4">
        <f>C172*D172</f>
        <v/>
      </c>
    </row>
    <row r="173">
      <c r="A173" s="4" t="n">
        <v>159</v>
      </c>
      <c r="B173" s="5" t="inlineStr">
        <is>
          <t>Account and authentication email set: welcome, invitations, password reset, verification and email change (dark-mode-safe templates)</t>
        </is>
      </c>
      <c r="C173" s="4" t="n">
        <v>16</v>
      </c>
      <c r="D173" s="4" t="n">
        <v>50</v>
      </c>
      <c r="E173" s="4">
        <f>C173*D173</f>
        <v/>
      </c>
    </row>
    <row r="174">
      <c r="A174" s="4" t="n">
        <v>160</v>
      </c>
      <c r="B174" s="5" t="inlineStr">
        <is>
          <t>Email delivery spine: exactly-once send log, suppression records, per-entity timelines and administrative resend</t>
        </is>
      </c>
      <c r="C174" s="4" t="n">
        <v>32</v>
      </c>
      <c r="D174" s="4" t="n">
        <v>50</v>
      </c>
      <c r="E174" s="4">
        <f>C174*D174</f>
        <v/>
      </c>
    </row>
    <row r="175">
      <c r="A175" s="4" t="n">
        <v>161</v>
      </c>
      <c r="B175" s="5" t="inlineStr">
        <is>
          <t>In-application notification inbox: bell feed, sidebar badges, login digest and permission-gated audience fan-out</t>
        </is>
      </c>
      <c r="C175" s="4" t="n">
        <v>40</v>
      </c>
      <c r="D175" s="4" t="n">
        <v>50</v>
      </c>
      <c r="E175" s="4">
        <f>C175*D175</f>
        <v/>
      </c>
    </row>
    <row r="176">
      <c r="A176" s="6" t="n"/>
      <c r="B176" s="7" t="inlineStr">
        <is>
          <t>Subtotal: Emails &amp; Notifications</t>
        </is>
      </c>
      <c r="C176" s="8">
        <f>SUM(C167:C175)</f>
        <v/>
      </c>
      <c r="D176" s="6" t="n"/>
      <c r="E176" s="8">
        <f>SUM(E167:E175)</f>
        <v/>
      </c>
    </row>
    <row r="177" ht="20" customHeight="1">
      <c r="A177" s="2" t="n"/>
      <c r="B177" s="3" t="inlineStr">
        <is>
          <t>Infrastructure, Deployment &amp; Quality</t>
        </is>
      </c>
      <c r="C177" s="2" t="n"/>
      <c r="D177" s="2" t="n"/>
      <c r="E177" s="2" t="n"/>
    </row>
    <row r="178">
      <c r="A178" s="4" t="n">
        <v>162</v>
      </c>
      <c r="B178" s="5" t="inlineStr">
        <is>
          <t>Production VPS deployment: containerized stack, reverse proxy with TLS, PostgreSQL/Redis and a migrate-on-boot entrypoint</t>
        </is>
      </c>
      <c r="C178" s="4" t="n">
        <v>32</v>
      </c>
      <c r="D178" s="4" t="n">
        <v>50</v>
      </c>
      <c r="E178" s="4">
        <f>C178*D178</f>
        <v/>
      </c>
    </row>
    <row r="179">
      <c r="A179" s="4" t="n">
        <v>163</v>
      </c>
      <c r="B179" s="5" t="inlineStr">
        <is>
          <t>CI/CD pipelines: automated build, test and deployment for the backend, with auto-deploy for both frontends</t>
        </is>
      </c>
      <c r="C179" s="4" t="n">
        <v>24</v>
      </c>
      <c r="D179" s="4" t="n">
        <v>50</v>
      </c>
      <c r="E179" s="4">
        <f>C179*D179</f>
        <v/>
      </c>
    </row>
    <row r="180">
      <c r="A180" s="4" t="n">
        <v>164</v>
      </c>
      <c r="B180" s="5" t="inlineStr">
        <is>
          <t>Environment validation and a layered secrets model with rotation procedures</t>
        </is>
      </c>
      <c r="C180" s="4" t="n">
        <v>8</v>
      </c>
      <c r="D180" s="4" t="n">
        <v>50</v>
      </c>
      <c r="E180" s="4">
        <f>C180*D180</f>
        <v/>
      </c>
    </row>
    <row r="181">
      <c r="A181" s="4" t="n">
        <v>165</v>
      </c>
      <c r="B181" s="5" t="inlineStr">
        <is>
          <t>Automated test coverage: 1,600+ backend assertions, including concurrency and overbooking scenarios, plus end-to-end suites</t>
        </is>
      </c>
      <c r="C181" s="4" t="n">
        <v>80</v>
      </c>
      <c r="D181" s="4" t="n">
        <v>50</v>
      </c>
      <c r="E181" s="4">
        <f>C181*D181</f>
        <v/>
      </c>
    </row>
    <row r="182">
      <c r="A182" s="4" t="n">
        <v>166</v>
      </c>
      <c r="B182" s="5" t="inlineStr">
        <is>
          <t>Seed tooling: first-boot production bootstrap seed and a re-runnable demo dataset</t>
        </is>
      </c>
      <c r="C182" s="4" t="n">
        <v>24</v>
      </c>
      <c r="D182" s="4" t="n">
        <v>50</v>
      </c>
      <c r="E182" s="4">
        <f>C182*D182</f>
        <v/>
      </c>
    </row>
    <row r="183">
      <c r="A183" s="4" t="n">
        <v>167</v>
      </c>
      <c r="B183" s="5" t="inlineStr">
        <is>
          <t>Dashboard extraction into an independently deployable application with parity verification</t>
        </is>
      </c>
      <c r="C183" s="4" t="n">
        <v>64</v>
      </c>
      <c r="D183" s="4" t="n">
        <v>50</v>
      </c>
      <c r="E183" s="4">
        <f>C183*D183</f>
        <v/>
      </c>
    </row>
    <row r="184">
      <c r="A184" s="4" t="n">
        <v>168</v>
      </c>
      <c r="B184" s="5" t="inlineStr">
        <is>
          <t>Dashboard design system: token architecture, dark mode, unified data tables, status badges and lint-enforced rules</t>
        </is>
      </c>
      <c r="C184" s="4" t="n">
        <v>48</v>
      </c>
      <c r="D184" s="4" t="n">
        <v>50</v>
      </c>
      <c r="E184" s="4">
        <f>C184*D184</f>
        <v/>
      </c>
    </row>
    <row r="185">
      <c r="A185" s="6" t="n"/>
      <c r="B185" s="7" t="inlineStr">
        <is>
          <t>Subtotal: Infrastructure, Deployment &amp; Quality</t>
        </is>
      </c>
      <c r="C185" s="8">
        <f>SUM(C178:C184)</f>
        <v/>
      </c>
      <c r="D185" s="6" t="n"/>
      <c r="E185" s="8">
        <f>SUM(E178:E184)</f>
        <v/>
      </c>
    </row>
    <row r="187">
      <c r="A187" s="9" t="n"/>
      <c r="B187" s="9" t="inlineStr">
        <is>
          <t>GRAND TOTAL</t>
        </is>
      </c>
      <c r="C187" s="9">
        <f>C41+C91+C102+C116+C146+C165+C176+C185</f>
        <v/>
      </c>
      <c r="D187" s="9" t="n"/>
      <c r="E187" s="9">
        <f>E41+E91+E102+E116+E146+E165+E176+E185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2026-08-16T16:02:43Z</dcterms:created>
  <dcterms:modified xsi:type="dcterms:W3CDTF">2026-08-16T16:02:43Z</dcterms:modified>
</cp:coreProperties>
</file>